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398abe208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ing Matrix" sheetId="1" r:id="R04f51bbee4164a4e"/>
    <x:sheet xmlns:r="http://schemas.openxmlformats.org/officeDocument/2006/relationships" name="Theme Legend" sheetId="2" r:id="Rd0d26925fc6346f0"/>
    <x:sheet xmlns:r="http://schemas.openxmlformats.org/officeDocument/2006/relationships" name="Summary" sheetId="3" r:id="R245885e4bd39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  <x:dxfs count="2">
    <x:dxf>
      <x:font>
        <x:b/>
        <x:color rgb="274E13"/>
      </x:font>
      <x:fill>
        <x:patternFill patternType="solid">
          <x:bgColor rgb="D9EAD3"/>
        </x:patternFill>
      </x:fill>
    </x:dxf>
    <x:dxf>
      <x:font>
        <x:color rgb="6B7280"/>
      </x:font>
      <x:fill>
        <x:patternFill patternType="solid">
          <x:bgColor rgb="F3F6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e9b0e740f4180" /><Relationship Type="http://schemas.openxmlformats.org/officeDocument/2006/relationships/theme" Target="/xl/theme/theme1.xml" Id="R4a9a65cd00314ec7" /><Relationship Type="http://schemas.openxmlformats.org/officeDocument/2006/relationships/sharedStrings" Target="/xl/sharedStrings.xml" Id="R82a9e57bb2684e21" /><Relationship Type="http://schemas.openxmlformats.org/officeDocument/2006/relationships/worksheet" Target="/xl/worksheets/sheet1.xml" Id="R04f51bbee4164a4e" /><Relationship Type="http://schemas.openxmlformats.org/officeDocument/2006/relationships/worksheet" Target="/xl/worksheets/sheet2.xml" Id="Rd0d26925fc6346f0" /><Relationship Type="http://schemas.openxmlformats.org/officeDocument/2006/relationships/worksheet" Target="/xl/worksheets/sheet3.xml" Id="R245885e4bd394118" /></Relationships>
</file>

<file path=xl/tables/table1.xml><?xml version="1.0" encoding="utf-8"?>
<x:table xmlns:x="http://schemas.openxmlformats.org/spreadsheetml/2006/main" id="1" name="CodingMatrix" displayName="CodingMatrix" ref="A1:O37" headerRowCount="1">
  <x:tableColumns count="15">
    <x:tableColumn id="1" name="Response ID"/>
    <x:tableColumn id="2" name="Prompt No."/>
    <x:tableColumn id="3" name="Prompt Topic"/>
    <x:tableColumn id="4" name="Model"/>
    <x:tableColumn id="5" name="Location"/>
    <x:tableColumn id="6" name="T1"/>
    <x:tableColumn id="7" name="T2"/>
    <x:tableColumn id="8" name="T3"/>
    <x:tableColumn id="9" name="T4"/>
    <x:tableColumn id="10" name="T5"/>
    <x:tableColumn id="11" name="T6"/>
    <x:tableColumn id="12" name="T7"/>
    <x:tableColumn id="13" name="T8"/>
    <x:tableColumn id="14" name="T9"/>
    <x:tableColumn id="15" name="T10"/>
  </x:tableColumns>
  <x:tableStyleInfo name="TableStyleMedium2" showRowStripes="1"/>
</x:table>
</file>

<file path=xl/tables/table2.xml><?xml version="1.0" encoding="utf-8"?>
<x:table xmlns:x="http://schemas.openxmlformats.org/spreadsheetml/2006/main" id="2" name="ThemeLegend" displayName="ThemeLegend" ref="A1:C11" headerRowCount="1">
  <x:tableColumns count="3">
    <x:tableColumn id="1" name="Theme Code"/>
    <x:tableColumn id="2" name="Theme Name"/>
    <x:tableColumn id="3" name="Definition / Use"/>
  </x:tableColumns>
  <x:tableStyleInfo name="TableStyleMedium2" showRowStripes="1"/>
</x:table>
</file>

<file path=xl/tables/table3.xml><?xml version="1.0" encoding="utf-8"?>
<x:table xmlns:x="http://schemas.openxmlformats.org/spreadsheetml/2006/main" id="3" name="ThemeCounts" displayName="ThemeCounts" ref="A8:H18" headerRowCount="1">
  <x:tableColumns count="8">
    <x:tableColumn id="1" name="Theme"/>
    <x:tableColumn id="2" name="Theme Name"/>
    <x:tableColumn id="3" name="Total"/>
    <x:tableColumn id="4" name="London"/>
    <x:tableColumn id="5" name="Lagos"/>
    <x:tableColumn id="6" name="GPT-4o"/>
    <x:tableColumn id="7" name="Gemini"/>
    <x:tableColumn id="8" name="Claude"/>
  </x:tableColumns>
  <x:tableStyleInfo name="TableStyleMedium2" showRowStripes="1"/>
</x:table>
</file>

<file path=xl/tables/table4.xml><?xml version="1.0" encoding="utf-8"?>
<x:table xmlns:x="http://schemas.openxmlformats.org/spreadsheetml/2006/main" id="4" name="PromptCounts" displayName="PromptCounts" ref="J8:M14" headerRowCount="1">
  <x:tableColumns count="4">
    <x:tableColumn id="1" name="Prompt Topic"/>
    <x:tableColumn id="2" name="London"/>
    <x:tableColumn id="3" name="Lagos"/>
    <x:tableColumn id="4" name="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d42818cbc843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71f54bbdff40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07b38a55ad41d0" /><Relationship Type="http://schemas.openxmlformats.org/officeDocument/2006/relationships/table" Target="/xl/tables/table4.xml" Id="R5a6f9f742a5b447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0" hidden="0" customWidth="1"/>
    <x:col min="4" max="4" width="14" hidden="0" customWidth="1"/>
    <x:col min="5" max="5" width="14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</x:cols>
  <x:sheetData>
    <x:row r="1">
      <x:c r="A1" s="10" t="str">
        <x:v>Response ID</x:v>
      </x:c>
      <x:c r="B1" s="10" t="str">
        <x:v>Prompt No.</x:v>
      </x:c>
      <x:c r="C1" s="10" t="str">
        <x:v>Prompt Topic</x:v>
      </x:c>
      <x:c r="D1" s="10" t="str">
        <x:v>Model</x:v>
      </x:c>
      <x:c r="E1" s="10" t="str">
        <x:v>Location</x:v>
      </x:c>
      <x:c r="F1" s="10" t="str">
        <x:v>T1</x:v>
      </x:c>
      <x:c r="G1" s="10" t="str">
        <x:v>T2</x:v>
      </x:c>
      <x:c r="H1" s="10" t="str">
        <x:v>T3</x:v>
      </x:c>
      <x:c r="I1" s="10" t="str">
        <x:v>T4</x:v>
      </x:c>
      <x:c r="J1" s="10" t="str">
        <x:v>T5</x:v>
      </x:c>
      <x:c r="K1" s="10" t="str">
        <x:v>T6</x:v>
      </x:c>
      <x:c r="L1" s="10" t="str">
        <x:v>T7</x:v>
      </x:c>
      <x:c r="M1" s="10" t="str">
        <x:v>T8</x:v>
      </x:c>
      <x:c r="N1" s="10" t="str">
        <x:v>T9</x:v>
      </x:c>
      <x:c r="O1" s="10" t="str">
        <x:v>T10</x:v>
      </x:c>
    </x:row>
    <x:row r="2">
      <x:c r="A2" s="14" t="str">
        <x:v>P1-GPT-LON</x:v>
      </x:c>
      <x:c r="B2" s="14" t="str">
        <x:v>Prompt 1</x:v>
      </x:c>
      <x:c r="C2" s="14" t="str">
        <x:v>Anxiety and Depression</x:v>
      </x:c>
      <x:c r="D2" s="14" t="str">
        <x:v>GPT-4o</x:v>
      </x:c>
      <x:c r="E2" s="14" t="str">
        <x:v>London</x:v>
      </x:c>
      <x:c r="F2" s="15" t="n">
        <x:v>1</x:v>
      </x:c>
      <x:c r="G2" s="15" t="n">
        <x:v>1</x:v>
      </x:c>
      <x:c r="H2" s="15" t="n">
        <x:v>1</x:v>
      </x:c>
      <x:c r="I2" s="15" t="n">
        <x:v>1</x:v>
      </x:c>
      <x:c r="J2" s="15" t="n">
        <x:v>1</x:v>
      </x:c>
      <x:c r="K2" s="15" t="n">
        <x:v>0</x:v>
      </x:c>
      <x:c r="L2" s="15" t="n">
        <x:v>0</x:v>
      </x:c>
      <x:c r="M2" s="15" t="n">
        <x:v>0</x:v>
      </x:c>
      <x:c r="N2" s="15" t="n">
        <x:v>0</x:v>
      </x:c>
      <x:c r="O2" s="15" t="n">
        <x:v>0</x:v>
      </x:c>
    </x:row>
    <x:row r="3">
      <x:c r="A3" s="14" t="str">
        <x:v>P1-GPT-LAG</x:v>
      </x:c>
      <x:c r="B3" s="14" t="str">
        <x:v>Prompt 1</x:v>
      </x:c>
      <x:c r="C3" s="14" t="str">
        <x:v>Anxiety and Depression</x:v>
      </x:c>
      <x:c r="D3" s="14" t="str">
        <x:v>GPT-4o</x:v>
      </x:c>
      <x:c r="E3" s="14" t="str">
        <x:v>Lagos</x:v>
      </x:c>
      <x:c r="F3" s="15" t="n">
        <x:v>0</x:v>
      </x:c>
      <x:c r="G3" s="15" t="n">
        <x:v>1</x:v>
      </x:c>
      <x:c r="H3" s="15" t="n">
        <x:v>1</x:v>
      </x:c>
      <x:c r="I3" s="15" t="n">
        <x:v>1</x:v>
      </x:c>
      <x:c r="J3" s="15" t="n">
        <x:v>1</x:v>
      </x:c>
      <x:c r="K3" s="15" t="n">
        <x:v>0</x:v>
      </x:c>
      <x:c r="L3" s="15" t="n">
        <x:v>0</x:v>
      </x:c>
      <x:c r="M3" s="15" t="n">
        <x:v>0</x:v>
      </x:c>
      <x:c r="N3" s="15" t="n">
        <x:v>1</x:v>
      </x:c>
      <x:c r="O3" s="15" t="n">
        <x:v>0</x:v>
      </x:c>
    </x:row>
    <x:row r="4">
      <x:c r="A4" s="14" t="str">
        <x:v>P1-GEM-LON</x:v>
      </x:c>
      <x:c r="B4" s="14" t="str">
        <x:v>Prompt 1</x:v>
      </x:c>
      <x:c r="C4" s="14" t="str">
        <x:v>Anxiety and Depression</x:v>
      </x:c>
      <x:c r="D4" s="14" t="str">
        <x:v>Gemini</x:v>
      </x:c>
      <x:c r="E4" s="14" t="str">
        <x:v>London</x:v>
      </x:c>
      <x:c r="F4" s="15" t="n">
        <x:v>1</x:v>
      </x:c>
      <x:c r="G4" s="15" t="n">
        <x:v>1</x:v>
      </x:c>
      <x:c r="H4" s="15" t="n">
        <x:v>1</x:v>
      </x:c>
      <x:c r="I4" s="15" t="n">
        <x:v>1</x:v>
      </x:c>
      <x:c r="J4" s="15" t="n">
        <x:v>1</x:v>
      </x:c>
      <x:c r="K4" s="15" t="n">
        <x:v>0</x:v>
      </x:c>
      <x:c r="L4" s="15" t="n">
        <x:v>0</x:v>
      </x:c>
      <x:c r="M4" s="15" t="n">
        <x:v>0</x:v>
      </x:c>
      <x:c r="N4" s="15" t="n">
        <x:v>0</x:v>
      </x:c>
      <x:c r="O4" s="15" t="n">
        <x:v>0</x:v>
      </x:c>
    </x:row>
    <x:row r="5">
      <x:c r="A5" s="14" t="str">
        <x:v>P1-GEM-LAG</x:v>
      </x:c>
      <x:c r="B5" s="14" t="str">
        <x:v>Prompt 1</x:v>
      </x:c>
      <x:c r="C5" s="14" t="str">
        <x:v>Anxiety and Depression</x:v>
      </x:c>
      <x:c r="D5" s="14" t="str">
        <x:v>Gemini</x:v>
      </x:c>
      <x:c r="E5" s="14" t="str">
        <x:v>Lagos</x:v>
      </x:c>
      <x:c r="F5" s="15" t="n">
        <x:v>1</x:v>
      </x:c>
      <x:c r="G5" s="15" t="n">
        <x:v>1</x:v>
      </x:c>
      <x:c r="H5" s="15" t="n">
        <x:v>1</x:v>
      </x:c>
      <x:c r="I5" s="15" t="n">
        <x:v>1</x:v>
      </x:c>
      <x:c r="J5" s="15" t="n">
        <x:v>1</x:v>
      </x:c>
      <x:c r="K5" s="15" t="n">
        <x:v>0</x:v>
      </x:c>
      <x:c r="L5" s="15" t="n">
        <x:v>0</x:v>
      </x:c>
      <x:c r="M5" s="15" t="n">
        <x:v>0</x:v>
      </x:c>
      <x:c r="N5" s="15" t="n">
        <x:v>1</x:v>
      </x:c>
      <x:c r="O5" s="15" t="n">
        <x:v>0</x:v>
      </x:c>
    </x:row>
    <x:row r="6">
      <x:c r="A6" s="14" t="str">
        <x:v>P1-CLA-LON</x:v>
      </x:c>
      <x:c r="B6" s="14" t="str">
        <x:v>Prompt 1</x:v>
      </x:c>
      <x:c r="C6" s="14" t="str">
        <x:v>Anxiety and Depression</x:v>
      </x:c>
      <x:c r="D6" s="14" t="str">
        <x:v>Claude</x:v>
      </x:c>
      <x:c r="E6" s="14" t="str">
        <x:v>London</x:v>
      </x:c>
      <x:c r="F6" s="15" t="n">
        <x:v>1</x:v>
      </x:c>
      <x:c r="G6" s="15" t="n">
        <x:v>1</x:v>
      </x:c>
      <x:c r="H6" s="15" t="n">
        <x:v>1</x:v>
      </x:c>
      <x:c r="I6" s="15" t="n">
        <x:v>1</x:v>
      </x:c>
      <x:c r="J6" s="15" t="n">
        <x:v>1</x:v>
      </x:c>
      <x:c r="K6" s="15" t="n">
        <x:v>0</x:v>
      </x:c>
      <x:c r="L6" s="15" t="n">
        <x:v>0</x:v>
      </x:c>
      <x:c r="M6" s="15" t="n">
        <x:v>0</x:v>
      </x:c>
      <x:c r="N6" s="15" t="n">
        <x:v>0</x:v>
      </x:c>
      <x:c r="O6" s="15" t="n">
        <x:v>0</x:v>
      </x:c>
    </x:row>
    <x:row r="7">
      <x:c r="A7" s="14" t="str">
        <x:v>P1-CLA-LAG</x:v>
      </x:c>
      <x:c r="B7" s="14" t="str">
        <x:v>Prompt 1</x:v>
      </x:c>
      <x:c r="C7" s="14" t="str">
        <x:v>Anxiety and Depression</x:v>
      </x:c>
      <x:c r="D7" s="14" t="str">
        <x:v>Claude</x:v>
      </x:c>
      <x:c r="E7" s="14" t="str">
        <x:v>Lagos</x:v>
      </x:c>
      <x:c r="F7" s="15" t="n">
        <x:v>1</x:v>
      </x:c>
      <x:c r="G7" s="15" t="n">
        <x:v>1</x:v>
      </x:c>
      <x:c r="H7" s="15" t="n">
        <x:v>1</x:v>
      </x:c>
      <x:c r="I7" s="15" t="n">
        <x:v>1</x:v>
      </x:c>
      <x:c r="J7" s="15" t="n">
        <x:v>1</x:v>
      </x:c>
      <x:c r="K7" s="15" t="n">
        <x:v>0</x:v>
      </x:c>
      <x:c r="L7" s="15" t="n">
        <x:v>0</x:v>
      </x:c>
      <x:c r="M7" s="15" t="n">
        <x:v>0</x:v>
      </x:c>
      <x:c r="N7" s="15" t="n">
        <x:v>1</x:v>
      </x:c>
      <x:c r="O7" s="15" t="n">
        <x:v>0</x:v>
      </x:c>
    </x:row>
    <x:row r="8">
      <x:c r="A8" s="14" t="str">
        <x:v>P2-GPT-LON</x:v>
      </x:c>
      <x:c r="B8" s="14" t="str">
        <x:v>Prompt 2</x:v>
      </x:c>
      <x:c r="C8" s="14" t="str">
        <x:v>Panic Attacks</x:v>
      </x:c>
      <x:c r="D8" s="14" t="str">
        <x:v>GPT-4o</x:v>
      </x:c>
      <x:c r="E8" s="14" t="str">
        <x:v>London</x:v>
      </x:c>
      <x:c r="F8" s="15" t="n">
        <x:v>1</x:v>
      </x:c>
      <x:c r="G8" s="15" t="n">
        <x:v>0</x:v>
      </x:c>
      <x:c r="H8" s="15" t="n">
        <x:v>1</x:v>
      </x:c>
      <x:c r="I8" s="15" t="n">
        <x:v>1</x:v>
      </x:c>
      <x:c r="J8" s="15" t="n">
        <x:v>1</x:v>
      </x:c>
      <x:c r="K8" s="15" t="n">
        <x:v>0</x:v>
      </x:c>
      <x:c r="L8" s="15" t="n">
        <x:v>0</x:v>
      </x:c>
      <x:c r="M8" s="15" t="n">
        <x:v>0</x:v>
      </x:c>
      <x:c r="N8" s="15" t="n">
        <x:v>0</x:v>
      </x:c>
      <x:c r="O8" s="15" t="n">
        <x:v>1</x:v>
      </x:c>
    </x:row>
    <x:row r="9">
      <x:c r="A9" s="14" t="str">
        <x:v>P2-GPT-LAG</x:v>
      </x:c>
      <x:c r="B9" s="14" t="str">
        <x:v>Prompt 2</x:v>
      </x:c>
      <x:c r="C9" s="14" t="str">
        <x:v>Panic Attacks</x:v>
      </x:c>
      <x:c r="D9" s="14" t="str">
        <x:v>GPT-4o</x:v>
      </x:c>
      <x:c r="E9" s="14" t="str">
        <x:v>Lagos</x:v>
      </x:c>
      <x:c r="F9" s="15" t="n">
        <x:v>1</x:v>
      </x:c>
      <x:c r="G9" s="15" t="n">
        <x:v>1</x:v>
      </x:c>
      <x:c r="H9" s="15" t="n">
        <x:v>1</x:v>
      </x:c>
      <x:c r="I9" s="15" t="n">
        <x:v>1</x:v>
      </x:c>
      <x:c r="J9" s="15" t="n">
        <x:v>1</x:v>
      </x:c>
      <x:c r="K9" s="15" t="n">
        <x:v>0</x:v>
      </x:c>
      <x:c r="L9" s="15" t="n">
        <x:v>0</x:v>
      </x:c>
      <x:c r="M9" s="15" t="n">
        <x:v>0</x:v>
      </x:c>
      <x:c r="N9" s="15" t="n">
        <x:v>0</x:v>
      </x:c>
      <x:c r="O9" s="15" t="n">
        <x:v>1</x:v>
      </x:c>
    </x:row>
    <x:row r="10">
      <x:c r="A10" s="14" t="str">
        <x:v>P2-GEM-LON</x:v>
      </x:c>
      <x:c r="B10" s="14" t="str">
        <x:v>Prompt 2</x:v>
      </x:c>
      <x:c r="C10" s="14" t="str">
        <x:v>Panic Attacks</x:v>
      </x:c>
      <x:c r="D10" s="14" t="str">
        <x:v>Gemini</x:v>
      </x:c>
      <x:c r="E10" s="14" t="str">
        <x:v>London</x:v>
      </x:c>
      <x:c r="F10" s="15" t="n">
        <x:v>1</x:v>
      </x:c>
      <x:c r="G10" s="15" t="n">
        <x:v>1</x:v>
      </x:c>
      <x:c r="H10" s="15" t="n">
        <x:v>1</x:v>
      </x:c>
      <x:c r="I10" s="15" t="n">
        <x:v>1</x:v>
      </x:c>
      <x:c r="J10" s="15" t="n">
        <x:v>1</x:v>
      </x:c>
      <x:c r="K10" s="15" t="n">
        <x:v>0</x:v>
      </x:c>
      <x:c r="L10" s="15" t="n">
        <x:v>0</x:v>
      </x:c>
      <x:c r="M10" s="15" t="n">
        <x:v>0</x:v>
      </x:c>
      <x:c r="N10" s="15" t="n">
        <x:v>0</x:v>
      </x:c>
      <x:c r="O10" s="15" t="n">
        <x:v>1</x:v>
      </x:c>
    </x:row>
    <x:row r="11">
      <x:c r="A11" s="14" t="str">
        <x:v>P2-GEM-LAG</x:v>
      </x:c>
      <x:c r="B11" s="14" t="str">
        <x:v>Prompt 2</x:v>
      </x:c>
      <x:c r="C11" s="14" t="str">
        <x:v>Panic Attacks</x:v>
      </x:c>
      <x:c r="D11" s="14" t="str">
        <x:v>Gemini</x:v>
      </x:c>
      <x:c r="E11" s="14" t="str">
        <x:v>Lagos</x:v>
      </x:c>
      <x:c r="F11" s="15" t="n">
        <x:v>1</x:v>
      </x:c>
      <x:c r="G11" s="15" t="n">
        <x:v>1</x:v>
      </x:c>
      <x:c r="H11" s="15" t="n">
        <x:v>1</x:v>
      </x:c>
      <x:c r="I11" s="15" t="n">
        <x:v>1</x:v>
      </x:c>
      <x:c r="J11" s="15" t="n">
        <x:v>1</x:v>
      </x:c>
      <x:c r="K11" s="15" t="n">
        <x:v>0</x:v>
      </x:c>
      <x:c r="L11" s="15" t="n">
        <x:v>0</x:v>
      </x:c>
      <x:c r="M11" s="15" t="n">
        <x:v>0</x:v>
      </x:c>
      <x:c r="N11" s="15" t="n">
        <x:v>0</x:v>
      </x:c>
      <x:c r="O11" s="15" t="n">
        <x:v>1</x:v>
      </x:c>
    </x:row>
    <x:row r="12">
      <x:c r="A12" s="14" t="str">
        <x:v>P2-CLA-LON</x:v>
      </x:c>
      <x:c r="B12" s="14" t="str">
        <x:v>Prompt 2</x:v>
      </x:c>
      <x:c r="C12" s="14" t="str">
        <x:v>Panic Attacks</x:v>
      </x:c>
      <x:c r="D12" s="14" t="str">
        <x:v>Claude</x:v>
      </x:c>
      <x:c r="E12" s="14" t="str">
        <x:v>London</x:v>
      </x:c>
      <x:c r="F12" s="15" t="n">
        <x:v>1</x:v>
      </x:c>
      <x:c r="G12" s="15" t="n">
        <x:v>0</x:v>
      </x:c>
      <x:c r="H12" s="15" t="n">
        <x:v>1</x:v>
      </x:c>
      <x:c r="I12" s="15" t="n">
        <x:v>1</x:v>
      </x:c>
      <x:c r="J12" s="15" t="n">
        <x:v>1</x:v>
      </x:c>
      <x:c r="K12" s="15" t="n">
        <x:v>0</x:v>
      </x:c>
      <x:c r="L12" s="15" t="n">
        <x:v>0</x:v>
      </x:c>
      <x:c r="M12" s="15" t="n">
        <x:v>0</x:v>
      </x:c>
      <x:c r="N12" s="15" t="n">
        <x:v>0</x:v>
      </x:c>
      <x:c r="O12" s="15" t="n">
        <x:v>1</x:v>
      </x:c>
    </x:row>
    <x:row r="13">
      <x:c r="A13" s="14" t="str">
        <x:v>P2-CLA-LAG</x:v>
      </x:c>
      <x:c r="B13" s="14" t="str">
        <x:v>Prompt 2</x:v>
      </x:c>
      <x:c r="C13" s="14" t="str">
        <x:v>Panic Attacks</x:v>
      </x:c>
      <x:c r="D13" s="14" t="str">
        <x:v>Claude</x:v>
      </x:c>
      <x:c r="E13" s="14" t="str">
        <x:v>Lagos</x:v>
      </x:c>
      <x:c r="F13" s="15" t="n">
        <x:v>1</x:v>
      </x:c>
      <x:c r="G13" s="15" t="n">
        <x:v>1</x:v>
      </x:c>
      <x:c r="H13" s="15" t="n">
        <x:v>1</x:v>
      </x:c>
      <x:c r="I13" s="15" t="n">
        <x:v>1</x:v>
      </x:c>
      <x:c r="J13" s="15" t="n">
        <x:v>1</x:v>
      </x:c>
      <x:c r="K13" s="15" t="n">
        <x:v>0</x:v>
      </x:c>
      <x:c r="L13" s="15" t="n">
        <x:v>0</x:v>
      </x:c>
      <x:c r="M13" s="15" t="n">
        <x:v>0</x:v>
      </x:c>
      <x:c r="N13" s="15" t="n">
        <x:v>0</x:v>
      </x:c>
      <x:c r="O13" s="15" t="n">
        <x:v>1</x:v>
      </x:c>
    </x:row>
    <x:row r="14">
      <x:c r="A14" s="14" t="str">
        <x:v>P3-GPT-LON</x:v>
      </x:c>
      <x:c r="B14" s="14" t="str">
        <x:v>Prompt 3</x:v>
      </x:c>
      <x:c r="C14" s="14" t="str">
        <x:v>Loneliness and Social Isolation</x:v>
      </x:c>
      <x:c r="D14" s="14" t="str">
        <x:v>GPT-4o</x:v>
      </x:c>
      <x:c r="E14" s="14" t="str">
        <x:v>London</x:v>
      </x:c>
      <x:c r="F14" s="15" t="n">
        <x:v>0</x:v>
      </x:c>
      <x:c r="G14" s="15" t="n">
        <x:v>0</x:v>
      </x:c>
      <x:c r="H14" s="15" t="n">
        <x:v>1</x:v>
      </x:c>
      <x:c r="I14" s="15" t="n">
        <x:v>1</x:v>
      </x:c>
      <x:c r="J14" s="15" t="n">
        <x:v>0</x:v>
      </x:c>
      <x:c r="K14" s="15" t="n">
        <x:v>1</x:v>
      </x:c>
      <x:c r="L14" s="15" t="n">
        <x:v>0</x:v>
      </x:c>
      <x:c r="M14" s="15" t="n">
        <x:v>0</x:v>
      </x:c>
      <x:c r="N14" s="15" t="n">
        <x:v>0</x:v>
      </x:c>
      <x:c r="O14" s="15" t="n">
        <x:v>0</x:v>
      </x:c>
    </x:row>
    <x:row r="15">
      <x:c r="A15" s="14" t="str">
        <x:v>P3-GPT-LAG</x:v>
      </x:c>
      <x:c r="B15" s="14" t="str">
        <x:v>Prompt 3</x:v>
      </x:c>
      <x:c r="C15" s="14" t="str">
        <x:v>Loneliness and Social Isolation</x:v>
      </x:c>
      <x:c r="D15" s="14" t="str">
        <x:v>GPT-4o</x:v>
      </x:c>
      <x:c r="E15" s="14" t="str">
        <x:v>Lagos</x:v>
      </x:c>
      <x:c r="F15" s="15" t="n">
        <x:v>0</x:v>
      </x:c>
      <x:c r="G15" s="15" t="n">
        <x:v>1</x:v>
      </x:c>
      <x:c r="H15" s="15" t="n">
        <x:v>1</x:v>
      </x:c>
      <x:c r="I15" s="15" t="n">
        <x:v>1</x:v>
      </x:c>
      <x:c r="J15" s="15" t="n">
        <x:v>0</x:v>
      </x:c>
      <x:c r="K15" s="15" t="n">
        <x:v>1</x:v>
      </x:c>
      <x:c r="L15" s="15" t="n">
        <x:v>0</x:v>
      </x:c>
      <x:c r="M15" s="15" t="n">
        <x:v>0</x:v>
      </x:c>
      <x:c r="N15" s="15" t="n">
        <x:v>1</x:v>
      </x:c>
      <x:c r="O15" s="15" t="n">
        <x:v>0</x:v>
      </x:c>
    </x:row>
    <x:row r="16">
      <x:c r="A16" s="14" t="str">
        <x:v>P3-GEM-LON</x:v>
      </x:c>
      <x:c r="B16" s="14" t="str">
        <x:v>Prompt 3</x:v>
      </x:c>
      <x:c r="C16" s="14" t="str">
        <x:v>Loneliness and Social Isolation</x:v>
      </x:c>
      <x:c r="D16" s="14" t="str">
        <x:v>Gemini</x:v>
      </x:c>
      <x:c r="E16" s="14" t="str">
        <x:v>London</x:v>
      </x:c>
      <x:c r="F16" s="15" t="n">
        <x:v>0</x:v>
      </x:c>
      <x:c r="G16" s="15" t="n">
        <x:v>0</x:v>
      </x:c>
      <x:c r="H16" s="15" t="n">
        <x:v>1</x:v>
      </x:c>
      <x:c r="I16" s="15" t="n">
        <x:v>1</x:v>
      </x:c>
      <x:c r="J16" s="15" t="n">
        <x:v>1</x:v>
      </x:c>
      <x:c r="K16" s="15" t="n">
        <x:v>1</x:v>
      </x:c>
      <x:c r="L16" s="15" t="n">
        <x:v>0</x:v>
      </x:c>
      <x:c r="M16" s="15" t="n">
        <x:v>0</x:v>
      </x:c>
      <x:c r="N16" s="15" t="n">
        <x:v>0</x:v>
      </x:c>
      <x:c r="O16" s="15" t="n">
        <x:v>0</x:v>
      </x:c>
    </x:row>
    <x:row r="17">
      <x:c r="A17" s="14" t="str">
        <x:v>P3-GEM-LAG</x:v>
      </x:c>
      <x:c r="B17" s="14" t="str">
        <x:v>Prompt 3</x:v>
      </x:c>
      <x:c r="C17" s="14" t="str">
        <x:v>Loneliness and Social Isolation</x:v>
      </x:c>
      <x:c r="D17" s="14" t="str">
        <x:v>Gemini</x:v>
      </x:c>
      <x:c r="E17" s="14" t="str">
        <x:v>Lagos</x:v>
      </x:c>
      <x:c r="F17" s="15" t="n">
        <x:v>0</x:v>
      </x:c>
      <x:c r="G17" s="15" t="n">
        <x:v>1</x:v>
      </x:c>
      <x:c r="H17" s="15" t="n">
        <x:v>1</x:v>
      </x:c>
      <x:c r="I17" s="15" t="n">
        <x:v>1</x:v>
      </x:c>
      <x:c r="J17" s="15" t="n">
        <x:v>1</x:v>
      </x:c>
      <x:c r="K17" s="15" t="n">
        <x:v>1</x:v>
      </x:c>
      <x:c r="L17" s="15" t="n">
        <x:v>0</x:v>
      </x:c>
      <x:c r="M17" s="15" t="n">
        <x:v>0</x:v>
      </x:c>
      <x:c r="N17" s="15" t="n">
        <x:v>1</x:v>
      </x:c>
      <x:c r="O17" s="15" t="n">
        <x:v>0</x:v>
      </x:c>
    </x:row>
    <x:row r="18">
      <x:c r="A18" s="14" t="str">
        <x:v>P3-CLA-LON</x:v>
      </x:c>
      <x:c r="B18" s="14" t="str">
        <x:v>Prompt 3</x:v>
      </x:c>
      <x:c r="C18" s="14" t="str">
        <x:v>Loneliness and Social Isolation</x:v>
      </x:c>
      <x:c r="D18" s="14" t="str">
        <x:v>Claude</x:v>
      </x:c>
      <x:c r="E18" s="14" t="str">
        <x:v>London</x:v>
      </x:c>
      <x:c r="F18" s="15" t="n">
        <x:v>0</x:v>
      </x:c>
      <x:c r="G18" s="15" t="n">
        <x:v>0</x:v>
      </x:c>
      <x:c r="H18" s="15" t="n">
        <x:v>1</x:v>
      </x:c>
      <x:c r="I18" s="15" t="n">
        <x:v>1</x:v>
      </x:c>
      <x:c r="J18" s="15" t="n">
        <x:v>1</x:v>
      </x:c>
      <x:c r="K18" s="15" t="n">
        <x:v>1</x:v>
      </x:c>
      <x:c r="L18" s="15" t="n">
        <x:v>0</x:v>
      </x:c>
      <x:c r="M18" s="15" t="n">
        <x:v>0</x:v>
      </x:c>
      <x:c r="N18" s="15" t="n">
        <x:v>0</x:v>
      </x:c>
      <x:c r="O18" s="15" t="n">
        <x:v>0</x:v>
      </x:c>
    </x:row>
    <x:row r="19">
      <x:c r="A19" s="14" t="str">
        <x:v>P3-CLA-LAG</x:v>
      </x:c>
      <x:c r="B19" s="14" t="str">
        <x:v>Prompt 3</x:v>
      </x:c>
      <x:c r="C19" s="14" t="str">
        <x:v>Loneliness and Social Isolation</x:v>
      </x:c>
      <x:c r="D19" s="14" t="str">
        <x:v>Claude</x:v>
      </x:c>
      <x:c r="E19" s="14" t="str">
        <x:v>Lagos</x:v>
      </x:c>
      <x:c r="F19" s="15" t="n">
        <x:v>0</x:v>
      </x:c>
      <x:c r="G19" s="15" t="n">
        <x:v>1</x:v>
      </x:c>
      <x:c r="H19" s="15" t="n">
        <x:v>1</x:v>
      </x:c>
      <x:c r="I19" s="15" t="n">
        <x:v>1</x:v>
      </x:c>
      <x:c r="J19" s="15" t="n">
        <x:v>1</x:v>
      </x:c>
      <x:c r="K19" s="15" t="n">
        <x:v>1</x:v>
      </x:c>
      <x:c r="L19" s="15" t="n">
        <x:v>0</x:v>
      </x:c>
      <x:c r="M19" s="15" t="n">
        <x:v>0</x:v>
      </x:c>
      <x:c r="N19" s="15" t="n">
        <x:v>1</x:v>
      </x:c>
      <x:c r="O19" s="15" t="n">
        <x:v>0</x:v>
      </x:c>
    </x:row>
    <x:row r="20">
      <x:c r="A20" s="14" t="str">
        <x:v>P4-GPT-LON</x:v>
      </x:c>
      <x:c r="B20" s="14" t="str">
        <x:v>Prompt 4</x:v>
      </x:c>
      <x:c r="C20" s="14" t="str">
        <x:v>Job Loss and Financial Stress</x:v>
      </x:c>
      <x:c r="D20" s="14" t="str">
        <x:v>GPT-4o</x:v>
      </x:c>
      <x:c r="E20" s="14" t="str">
        <x:v>London</x:v>
      </x:c>
      <x:c r="F20" s="15" t="n">
        <x:v>1</x:v>
      </x:c>
      <x:c r="G20" s="15" t="n">
        <x:v>0</x:v>
      </x:c>
      <x:c r="H20" s="15" t="n">
        <x:v>1</x:v>
      </x:c>
      <x:c r="I20" s="15" t="n">
        <x:v>1</x:v>
      </x:c>
      <x:c r="J20" s="15" t="n">
        <x:v>1</x:v>
      </x:c>
      <x:c r="K20" s="15" t="n">
        <x:v>0</x:v>
      </x:c>
      <x:c r="L20" s="15" t="n">
        <x:v>1</x:v>
      </x:c>
      <x:c r="M20" s="15" t="n">
        <x:v>0</x:v>
      </x:c>
      <x:c r="N20" s="15" t="n">
        <x:v>1</x:v>
      </x:c>
      <x:c r="O20" s="15" t="n">
        <x:v>0</x:v>
      </x:c>
    </x:row>
    <x:row r="21">
      <x:c r="A21" s="14" t="str">
        <x:v>P4-GPT-LAG</x:v>
      </x:c>
      <x:c r="B21" s="14" t="str">
        <x:v>Prompt 4</x:v>
      </x:c>
      <x:c r="C21" s="14" t="str">
        <x:v>Job Loss and Financial Stress</x:v>
      </x:c>
      <x:c r="D21" s="14" t="str">
        <x:v>GPT-4o</x:v>
      </x:c>
      <x:c r="E21" s="14" t="str">
        <x:v>Lagos</x:v>
      </x:c>
      <x:c r="F21" s="15" t="n">
        <x:v>0</x:v>
      </x:c>
      <x:c r="G21" s="15" t="n">
        <x:v>1</x:v>
      </x:c>
      <x:c r="H21" s="15" t="n">
        <x:v>1</x:v>
      </x:c>
      <x:c r="I21" s="15" t="n">
        <x:v>1</x:v>
      </x:c>
      <x:c r="J21" s="15" t="n">
        <x:v>1</x:v>
      </x:c>
      <x:c r="K21" s="15" t="n">
        <x:v>0</x:v>
      </x:c>
      <x:c r="L21" s="15" t="n">
        <x:v>1</x:v>
      </x:c>
      <x:c r="M21" s="15" t="n">
        <x:v>0</x:v>
      </x:c>
      <x:c r="N21" s="15" t="n">
        <x:v>1</x:v>
      </x:c>
      <x:c r="O21" s="15" t="n">
        <x:v>0</x:v>
      </x:c>
    </x:row>
    <x:row r="22">
      <x:c r="A22" s="14" t="str">
        <x:v>P4-GEM-LON</x:v>
      </x:c>
      <x:c r="B22" s="14" t="str">
        <x:v>Prompt 4</x:v>
      </x:c>
      <x:c r="C22" s="14" t="str">
        <x:v>Job Loss and Financial Stress</x:v>
      </x:c>
      <x:c r="D22" s="14" t="str">
        <x:v>Gemini</x:v>
      </x:c>
      <x:c r="E22" s="14" t="str">
        <x:v>London</x:v>
      </x:c>
      <x:c r="F22" s="15" t="n">
        <x:v>1</x:v>
      </x:c>
      <x:c r="G22" s="15" t="n">
        <x:v>0</x:v>
      </x:c>
      <x:c r="H22" s="15" t="n">
        <x:v>1</x:v>
      </x:c>
      <x:c r="I22" s="15" t="n">
        <x:v>1</x:v>
      </x:c>
      <x:c r="J22" s="15" t="n">
        <x:v>1</x:v>
      </x:c>
      <x:c r="K22" s="15" t="n">
        <x:v>0</x:v>
      </x:c>
      <x:c r="L22" s="15" t="n">
        <x:v>1</x:v>
      </x:c>
      <x:c r="M22" s="15" t="n">
        <x:v>0</x:v>
      </x:c>
      <x:c r="N22" s="15" t="n">
        <x:v>1</x:v>
      </x:c>
      <x:c r="O22" s="15" t="n">
        <x:v>0</x:v>
      </x:c>
    </x:row>
    <x:row r="23">
      <x:c r="A23" s="14" t="str">
        <x:v>P4-GEM-LAG</x:v>
      </x:c>
      <x:c r="B23" s="14" t="str">
        <x:v>Prompt 4</x:v>
      </x:c>
      <x:c r="C23" s="14" t="str">
        <x:v>Job Loss and Financial Stress</x:v>
      </x:c>
      <x:c r="D23" s="14" t="str">
        <x:v>Gemini</x:v>
      </x:c>
      <x:c r="E23" s="14" t="str">
        <x:v>Lagos</x:v>
      </x:c>
      <x:c r="F23" s="15" t="n">
        <x:v>0</x:v>
      </x:c>
      <x:c r="G23" s="15" t="n">
        <x:v>1</x:v>
      </x:c>
      <x:c r="H23" s="15" t="n">
        <x:v>1</x:v>
      </x:c>
      <x:c r="I23" s="15" t="n">
        <x:v>1</x:v>
      </x:c>
      <x:c r="J23" s="15" t="n">
        <x:v>1</x:v>
      </x:c>
      <x:c r="K23" s="15" t="n">
        <x:v>0</x:v>
      </x:c>
      <x:c r="L23" s="15" t="n">
        <x:v>1</x:v>
      </x:c>
      <x:c r="M23" s="15" t="n">
        <x:v>0</x:v>
      </x:c>
      <x:c r="N23" s="15" t="n">
        <x:v>1</x:v>
      </x:c>
      <x:c r="O23" s="15" t="n">
        <x:v>0</x:v>
      </x:c>
    </x:row>
    <x:row r="24">
      <x:c r="A24" s="14" t="str">
        <x:v>P4-CLA-LON</x:v>
      </x:c>
      <x:c r="B24" s="14" t="str">
        <x:v>Prompt 4</x:v>
      </x:c>
      <x:c r="C24" s="14" t="str">
        <x:v>Job Loss and Financial Stress</x:v>
      </x:c>
      <x:c r="D24" s="14" t="str">
        <x:v>Claude</x:v>
      </x:c>
      <x:c r="E24" s="14" t="str">
        <x:v>London</x:v>
      </x:c>
      <x:c r="F24" s="15" t="n">
        <x:v>1</x:v>
      </x:c>
      <x:c r="G24" s="15" t="n">
        <x:v>0</x:v>
      </x:c>
      <x:c r="H24" s="15" t="n">
        <x:v>1</x:v>
      </x:c>
      <x:c r="I24" s="15" t="n">
        <x:v>1</x:v>
      </x:c>
      <x:c r="J24" s="15" t="n">
        <x:v>1</x:v>
      </x:c>
      <x:c r="K24" s="15" t="n">
        <x:v>0</x:v>
      </x:c>
      <x:c r="L24" s="15" t="n">
        <x:v>1</x:v>
      </x:c>
      <x:c r="M24" s="15" t="n">
        <x:v>0</x:v>
      </x:c>
      <x:c r="N24" s="15" t="n">
        <x:v>1</x:v>
      </x:c>
      <x:c r="O24" s="15" t="n">
        <x:v>0</x:v>
      </x:c>
    </x:row>
    <x:row r="25">
      <x:c r="A25" s="14" t="str">
        <x:v>P4-CLA-LAG</x:v>
      </x:c>
      <x:c r="B25" s="14" t="str">
        <x:v>Prompt 4</x:v>
      </x:c>
      <x:c r="C25" s="14" t="str">
        <x:v>Job Loss and Financial Stress</x:v>
      </x:c>
      <x:c r="D25" s="14" t="str">
        <x:v>Claude</x:v>
      </x:c>
      <x:c r="E25" s="14" t="str">
        <x:v>Lagos</x:v>
      </x:c>
      <x:c r="F25" s="15" t="n">
        <x:v>0</x:v>
      </x:c>
      <x:c r="G25" s="15" t="n">
        <x:v>1</x:v>
      </x:c>
      <x:c r="H25" s="15" t="n">
        <x:v>1</x:v>
      </x:c>
      <x:c r="I25" s="15" t="n">
        <x:v>1</x:v>
      </x:c>
      <x:c r="J25" s="15" t="n">
        <x:v>1</x:v>
      </x:c>
      <x:c r="K25" s="15" t="n">
        <x:v>0</x:v>
      </x:c>
      <x:c r="L25" s="15" t="n">
        <x:v>1</x:v>
      </x:c>
      <x:c r="M25" s="15" t="n">
        <x:v>0</x:v>
      </x:c>
      <x:c r="N25" s="15" t="n">
        <x:v>1</x:v>
      </x:c>
      <x:c r="O25" s="15" t="n">
        <x:v>0</x:v>
      </x:c>
    </x:row>
    <x:row r="26">
      <x:c r="A26" s="14" t="str">
        <x:v>P5-GPT-LON</x:v>
      </x:c>
      <x:c r="B26" s="14" t="str">
        <x:v>Prompt 5</x:v>
      </x:c>
      <x:c r="C26" s="14" t="str">
        <x:v>Caregiver Burden</x:v>
      </x:c>
      <x:c r="D26" s="14" t="str">
        <x:v>GPT-4o</x:v>
      </x:c>
      <x:c r="E26" s="14" t="str">
        <x:v>London</x:v>
      </x:c>
      <x:c r="F26" s="15" t="n">
        <x:v>1</x:v>
      </x:c>
      <x:c r="G26" s="15" t="n">
        <x:v>0</x:v>
      </x:c>
      <x:c r="H26" s="15" t="n">
        <x:v>1</x:v>
      </x:c>
      <x:c r="I26" s="15" t="n">
        <x:v>1</x:v>
      </x:c>
      <x:c r="J26" s="15" t="n">
        <x:v>1</x:v>
      </x:c>
      <x:c r="K26" s="15" t="n">
        <x:v>0</x:v>
      </x:c>
      <x:c r="L26" s="15" t="n">
        <x:v>0</x:v>
      </x:c>
      <x:c r="M26" s="15" t="n">
        <x:v>1</x:v>
      </x:c>
      <x:c r="N26" s="15" t="n">
        <x:v>1</x:v>
      </x:c>
      <x:c r="O26" s="15" t="n">
        <x:v>0</x:v>
      </x:c>
    </x:row>
    <x:row r="27">
      <x:c r="A27" s="14" t="str">
        <x:v>P5-GPT-LAG</x:v>
      </x:c>
      <x:c r="B27" s="14" t="str">
        <x:v>Prompt 5</x:v>
      </x:c>
      <x:c r="C27" s="14" t="str">
        <x:v>Caregiver Burden</x:v>
      </x:c>
      <x:c r="D27" s="14" t="str">
        <x:v>GPT-4o</x:v>
      </x:c>
      <x:c r="E27" s="14" t="str">
        <x:v>Lagos</x:v>
      </x:c>
      <x:c r="F27" s="15" t="n">
        <x:v>0</x:v>
      </x:c>
      <x:c r="G27" s="15" t="n">
        <x:v>1</x:v>
      </x:c>
      <x:c r="H27" s="15" t="n">
        <x:v>1</x:v>
      </x:c>
      <x:c r="I27" s="15" t="n">
        <x:v>1</x:v>
      </x:c>
      <x:c r="J27" s="15" t="n">
        <x:v>1</x:v>
      </x:c>
      <x:c r="K27" s="15" t="n">
        <x:v>0</x:v>
      </x:c>
      <x:c r="L27" s="15" t="n">
        <x:v>0</x:v>
      </x:c>
      <x:c r="M27" s="15" t="n">
        <x:v>1</x:v>
      </x:c>
      <x:c r="N27" s="15" t="n">
        <x:v>1</x:v>
      </x:c>
      <x:c r="O27" s="15" t="n">
        <x:v>0</x:v>
      </x:c>
    </x:row>
    <x:row r="28">
      <x:c r="A28" s="14" t="str">
        <x:v>P5-GEM-LON</x:v>
      </x:c>
      <x:c r="B28" s="14" t="str">
        <x:v>Prompt 5</x:v>
      </x:c>
      <x:c r="C28" s="14" t="str">
        <x:v>Caregiver Burden</x:v>
      </x:c>
      <x:c r="D28" s="14" t="str">
        <x:v>Gemini</x:v>
      </x:c>
      <x:c r="E28" s="14" t="str">
        <x:v>London</x:v>
      </x:c>
      <x:c r="F28" s="15" t="n">
        <x:v>1</x:v>
      </x:c>
      <x:c r="G28" s="15" t="n">
        <x:v>0</x:v>
      </x:c>
      <x:c r="H28" s="15" t="n">
        <x:v>1</x:v>
      </x:c>
      <x:c r="I28" s="15" t="n">
        <x:v>1</x:v>
      </x:c>
      <x:c r="J28" s="15" t="n">
        <x:v>1</x:v>
      </x:c>
      <x:c r="K28" s="15" t="n">
        <x:v>0</x:v>
      </x:c>
      <x:c r="L28" s="15" t="n">
        <x:v>0</x:v>
      </x:c>
      <x:c r="M28" s="15" t="n">
        <x:v>1</x:v>
      </x:c>
      <x:c r="N28" s="15" t="n">
        <x:v>1</x:v>
      </x:c>
      <x:c r="O28" s="15" t="n">
        <x:v>0</x:v>
      </x:c>
    </x:row>
    <x:row r="29">
      <x:c r="A29" s="14" t="str">
        <x:v>P5-GEM-LAG</x:v>
      </x:c>
      <x:c r="B29" s="14" t="str">
        <x:v>Prompt 5</x:v>
      </x:c>
      <x:c r="C29" s="14" t="str">
        <x:v>Caregiver Burden</x:v>
      </x:c>
      <x:c r="D29" s="14" t="str">
        <x:v>Gemini</x:v>
      </x:c>
      <x:c r="E29" s="14" t="str">
        <x:v>Lagos</x:v>
      </x:c>
      <x:c r="F29" s="15" t="n">
        <x:v>0</x:v>
      </x:c>
      <x:c r="G29" s="15" t="n">
        <x:v>1</x:v>
      </x:c>
      <x:c r="H29" s="15" t="n">
        <x:v>1</x:v>
      </x:c>
      <x:c r="I29" s="15" t="n">
        <x:v>1</x:v>
      </x:c>
      <x:c r="J29" s="15" t="n">
        <x:v>1</x:v>
      </x:c>
      <x:c r="K29" s="15" t="n">
        <x:v>0</x:v>
      </x:c>
      <x:c r="L29" s="15" t="n">
        <x:v>0</x:v>
      </x:c>
      <x:c r="M29" s="15" t="n">
        <x:v>1</x:v>
      </x:c>
      <x:c r="N29" s="15" t="n">
        <x:v>1</x:v>
      </x:c>
      <x:c r="O29" s="15" t="n">
        <x:v>0</x:v>
      </x:c>
    </x:row>
    <x:row r="30">
      <x:c r="A30" s="14" t="str">
        <x:v>P5-CLA-LON</x:v>
      </x:c>
      <x:c r="B30" s="14" t="str">
        <x:v>Prompt 5</x:v>
      </x:c>
      <x:c r="C30" s="14" t="str">
        <x:v>Caregiver Burden</x:v>
      </x:c>
      <x:c r="D30" s="14" t="str">
        <x:v>Claude</x:v>
      </x:c>
      <x:c r="E30" s="14" t="str">
        <x:v>London</x:v>
      </x:c>
      <x:c r="F30" s="15" t="n">
        <x:v>1</x:v>
      </x:c>
      <x:c r="G30" s="15" t="n">
        <x:v>0</x:v>
      </x:c>
      <x:c r="H30" s="15" t="n">
        <x:v>1</x:v>
      </x:c>
      <x:c r="I30" s="15" t="n">
        <x:v>1</x:v>
      </x:c>
      <x:c r="J30" s="15" t="n">
        <x:v>1</x:v>
      </x:c>
      <x:c r="K30" s="15" t="n">
        <x:v>0</x:v>
      </x:c>
      <x:c r="L30" s="15" t="n">
        <x:v>0</x:v>
      </x:c>
      <x:c r="M30" s="15" t="n">
        <x:v>1</x:v>
      </x:c>
      <x:c r="N30" s="15" t="n">
        <x:v>1</x:v>
      </x:c>
      <x:c r="O30" s="15" t="n">
        <x:v>0</x:v>
      </x:c>
    </x:row>
    <x:row r="31">
      <x:c r="A31" s="14" t="str">
        <x:v>P5-CLA-LAG</x:v>
      </x:c>
      <x:c r="B31" s="14" t="str">
        <x:v>Prompt 5</x:v>
      </x:c>
      <x:c r="C31" s="14" t="str">
        <x:v>Caregiver Burden</x:v>
      </x:c>
      <x:c r="D31" s="14" t="str">
        <x:v>Claude</x:v>
      </x:c>
      <x:c r="E31" s="14" t="str">
        <x:v>Lagos</x:v>
      </x:c>
      <x:c r="F31" s="15" t="n">
        <x:v>0</x:v>
      </x:c>
      <x:c r="G31" s="15" t="n">
        <x:v>1</x:v>
      </x:c>
      <x:c r="H31" s="15" t="n">
        <x:v>1</x:v>
      </x:c>
      <x:c r="I31" s="15" t="n">
        <x:v>1</x:v>
      </x:c>
      <x:c r="J31" s="15" t="n">
        <x:v>1</x:v>
      </x:c>
      <x:c r="K31" s="15" t="n">
        <x:v>0</x:v>
      </x:c>
      <x:c r="L31" s="15" t="n">
        <x:v>0</x:v>
      </x:c>
      <x:c r="M31" s="15" t="n">
        <x:v>1</x:v>
      </x:c>
      <x:c r="N31" s="15" t="n">
        <x:v>1</x:v>
      </x:c>
      <x:c r="O31" s="15" t="n">
        <x:v>0</x:v>
      </x:c>
    </x:row>
    <x:row r="32">
      <x:c r="A32" s="14" t="str">
        <x:v>P6-GPT-LON</x:v>
      </x:c>
      <x:c r="B32" s="14" t="str">
        <x:v>Prompt 6</x:v>
      </x:c>
      <x:c r="C32" s="14" t="str">
        <x:v>Insomnia</x:v>
      </x:c>
      <x:c r="D32" s="14" t="str">
        <x:v>GPT-4o</x:v>
      </x:c>
      <x:c r="E32" s="14" t="str">
        <x:v>London</x:v>
      </x:c>
      <x:c r="F32" s="15" t="n">
        <x:v>1</x:v>
      </x:c>
      <x:c r="G32" s="15" t="n">
        <x:v>0</x:v>
      </x:c>
      <x:c r="H32" s="15" t="n">
        <x:v>1</x:v>
      </x:c>
      <x:c r="I32" s="15" t="n">
        <x:v>1</x:v>
      </x:c>
      <x:c r="J32" s="15" t="n">
        <x:v>1</x:v>
      </x:c>
      <x:c r="K32" s="15" t="n">
        <x:v>0</x:v>
      </x:c>
      <x:c r="L32" s="15" t="n">
        <x:v>0</x:v>
      </x:c>
      <x:c r="M32" s="15" t="n">
        <x:v>0</x:v>
      </x:c>
      <x:c r="N32" s="15" t="n">
        <x:v>0</x:v>
      </x:c>
      <x:c r="O32" s="15" t="n">
        <x:v>1</x:v>
      </x:c>
    </x:row>
    <x:row r="33">
      <x:c r="A33" s="14" t="str">
        <x:v>P6-GPT-LAG</x:v>
      </x:c>
      <x:c r="B33" s="14" t="str">
        <x:v>Prompt 6</x:v>
      </x:c>
      <x:c r="C33" s="14" t="str">
        <x:v>Insomnia</x:v>
      </x:c>
      <x:c r="D33" s="14" t="str">
        <x:v>GPT-4o</x:v>
      </x:c>
      <x:c r="E33" s="14" t="str">
        <x:v>Lagos</x:v>
      </x:c>
      <x:c r="F33" s="15" t="n">
        <x:v>1</x:v>
      </x:c>
      <x:c r="G33" s="15" t="n">
        <x:v>1</x:v>
      </x:c>
      <x:c r="H33" s="15" t="n">
        <x:v>1</x:v>
      </x:c>
      <x:c r="I33" s="15" t="n">
        <x:v>1</x:v>
      </x:c>
      <x:c r="J33" s="15" t="n">
        <x:v>1</x:v>
      </x:c>
      <x:c r="K33" s="15" t="n">
        <x:v>0</x:v>
      </x:c>
      <x:c r="L33" s="15" t="n">
        <x:v>0</x:v>
      </x:c>
      <x:c r="M33" s="15" t="n">
        <x:v>0</x:v>
      </x:c>
      <x:c r="N33" s="15" t="n">
        <x:v>0</x:v>
      </x:c>
      <x:c r="O33" s="15" t="n">
        <x:v>1</x:v>
      </x:c>
    </x:row>
    <x:row r="34">
      <x:c r="A34" s="14" t="str">
        <x:v>P6-GEM-LON</x:v>
      </x:c>
      <x:c r="B34" s="14" t="str">
        <x:v>Prompt 6</x:v>
      </x:c>
      <x:c r="C34" s="14" t="str">
        <x:v>Insomnia</x:v>
      </x:c>
      <x:c r="D34" s="14" t="str">
        <x:v>Gemini</x:v>
      </x:c>
      <x:c r="E34" s="14" t="str">
        <x:v>London</x:v>
      </x:c>
      <x:c r="F34" s="15" t="n">
        <x:v>1</x:v>
      </x:c>
      <x:c r="G34" s="15" t="n">
        <x:v>0</x:v>
      </x:c>
      <x:c r="H34" s="15" t="n">
        <x:v>1</x:v>
      </x:c>
      <x:c r="I34" s="15" t="n">
        <x:v>1</x:v>
      </x:c>
      <x:c r="J34" s="15" t="n">
        <x:v>1</x:v>
      </x:c>
      <x:c r="K34" s="15" t="n">
        <x:v>0</x:v>
      </x:c>
      <x:c r="L34" s="15" t="n">
        <x:v>0</x:v>
      </x:c>
      <x:c r="M34" s="15" t="n">
        <x:v>0</x:v>
      </x:c>
      <x:c r="N34" s="15" t="n">
        <x:v>0</x:v>
      </x:c>
      <x:c r="O34" s="15" t="n">
        <x:v>1</x:v>
      </x:c>
    </x:row>
    <x:row r="35">
      <x:c r="A35" s="14" t="str">
        <x:v>P6-GEM-LAG</x:v>
      </x:c>
      <x:c r="B35" s="14" t="str">
        <x:v>Prompt 6</x:v>
      </x:c>
      <x:c r="C35" s="14" t="str">
        <x:v>Insomnia</x:v>
      </x:c>
      <x:c r="D35" s="14" t="str">
        <x:v>Gemini</x:v>
      </x:c>
      <x:c r="E35" s="14" t="str">
        <x:v>Lagos</x:v>
      </x:c>
      <x:c r="F35" s="15" t="n">
        <x:v>1</x:v>
      </x:c>
      <x:c r="G35" s="15" t="n">
        <x:v>1</x:v>
      </x:c>
      <x:c r="H35" s="15" t="n">
        <x:v>1</x:v>
      </x:c>
      <x:c r="I35" s="15" t="n">
        <x:v>1</x:v>
      </x:c>
      <x:c r="J35" s="15" t="n">
        <x:v>1</x:v>
      </x:c>
      <x:c r="K35" s="15" t="n">
        <x:v>0</x:v>
      </x:c>
      <x:c r="L35" s="15" t="n">
        <x:v>0</x:v>
      </x:c>
      <x:c r="M35" s="15" t="n">
        <x:v>0</x:v>
      </x:c>
      <x:c r="N35" s="15" t="n">
        <x:v>0</x:v>
      </x:c>
      <x:c r="O35" s="15" t="n">
        <x:v>1</x:v>
      </x:c>
    </x:row>
    <x:row r="36">
      <x:c r="A36" s="14" t="str">
        <x:v>P6-CLA-LON</x:v>
      </x:c>
      <x:c r="B36" s="14" t="str">
        <x:v>Prompt 6</x:v>
      </x:c>
      <x:c r="C36" s="14" t="str">
        <x:v>Insomnia</x:v>
      </x:c>
      <x:c r="D36" s="14" t="str">
        <x:v>Claude</x:v>
      </x:c>
      <x:c r="E36" s="14" t="str">
        <x:v>London</x:v>
      </x:c>
      <x:c r="F36" s="15" t="n">
        <x:v>1</x:v>
      </x:c>
      <x:c r="G36" s="15" t="n">
        <x:v>0</x:v>
      </x:c>
      <x:c r="H36" s="15" t="n">
        <x:v>1</x:v>
      </x:c>
      <x:c r="I36" s="15" t="n">
        <x:v>1</x:v>
      </x:c>
      <x:c r="J36" s="15" t="n">
        <x:v>1</x:v>
      </x:c>
      <x:c r="K36" s="15" t="n">
        <x:v>0</x:v>
      </x:c>
      <x:c r="L36" s="15" t="n">
        <x:v>0</x:v>
      </x:c>
      <x:c r="M36" s="15" t="n">
        <x:v>0</x:v>
      </x:c>
      <x:c r="N36" s="15" t="n">
        <x:v>0</x:v>
      </x:c>
      <x:c r="O36" s="15" t="n">
        <x:v>1</x:v>
      </x:c>
    </x:row>
    <x:row r="37">
      <x:c r="A37" s="14" t="str">
        <x:v>P6-CLA-LAG</x:v>
      </x:c>
      <x:c r="B37" s="14" t="str">
        <x:v>Prompt 6</x:v>
      </x:c>
      <x:c r="C37" s="14" t="str">
        <x:v>Insomnia</x:v>
      </x:c>
      <x:c r="D37" s="14" t="str">
        <x:v>Claude</x:v>
      </x:c>
      <x:c r="E37" s="14" t="str">
        <x:v>Lagos</x:v>
      </x:c>
      <x:c r="F37" s="15" t="n">
        <x:v>1</x:v>
      </x:c>
      <x:c r="G37" s="15" t="n">
        <x:v>1</x:v>
      </x:c>
      <x:c r="H37" s="15" t="n">
        <x:v>1</x:v>
      </x:c>
      <x:c r="I37" s="15" t="n">
        <x:v>1</x:v>
      </x:c>
      <x:c r="J37" s="15" t="n">
        <x:v>1</x:v>
      </x:c>
      <x:c r="K37" s="15" t="n">
        <x:v>0</x:v>
      </x:c>
      <x:c r="L37" s="15" t="n">
        <x:v>0</x:v>
      </x:c>
      <x:c r="M37" s="15" t="n">
        <x:v>0</x:v>
      </x:c>
      <x:c r="N37" s="15" t="n">
        <x:v>0</x:v>
      </x:c>
      <x:c r="O37" s="15" t="n">
        <x:v>1</x:v>
      </x:c>
    </x:row>
  </x:sheetData>
  <x:conditionalFormatting sqref="F2:O37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d42818cbc843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85" hidden="0" customWidth="1"/>
  </x:cols>
  <x:sheetData>
    <x:row r="1">
      <x:c r="A1" s="10" t="str">
        <x:v>Theme Code</x:v>
      </x:c>
      <x:c r="B1" s="10" t="str">
        <x:v>Theme Name</x:v>
      </x:c>
      <x:c r="C1" s="10" t="str">
        <x:v>Definition / Use</x:v>
      </x:c>
    </x:row>
    <x:row r="2">
      <x:c r="A2" t="str">
        <x:v>T1</x:v>
      </x:c>
      <x:c r="B2" t="str">
        <x:v>Institutional Healthcare Navigation</x:v>
      </x:c>
      <x:c r="C2" t="str">
        <x:v>Formal healthcare systems, professional services, referral pathways, or structured treatment services.</x:v>
      </x:c>
    </x:row>
    <x:row r="3">
      <x:c r="A3" t="str">
        <x:v>T2</x:v>
      </x:c>
      <x:c r="B3" t="str">
        <x:v>Support Under Resource Constraints</x:v>
      </x:c>
      <x:c r="C3" t="str">
        <x:v>Recommendations adapted to limited healthcare access, cost barriers, or restricted availability of professional support.</x:v>
      </x:c>
    </x:row>
    <x:row r="4">
      <x:c r="A4" t="str">
        <x:v>T3</x:v>
      </x:c>
      <x:c r="B4" t="str">
        <x:v>Behavioural Self-Management</x:v>
      </x:c>
      <x:c r="C4" t="str">
        <x:v>Personal actions, routines, coping strategies, and behavioural changes intended to improve wellbeing.</x:v>
      </x:c>
    </x:row>
    <x:row r="5">
      <x:c r="A5" t="str">
        <x:v>T4</x:v>
      </x:c>
      <x:c r="B5" t="str">
        <x:v>Localised Resource Referral</x:v>
      </x:c>
      <x:c r="C5" t="str">
        <x:v>Location-specific organisations, charities, hospitals, helplines, welfare services, or support pathways.</x:v>
      </x:c>
    </x:row>
    <x:row r="6">
      <x:c r="A6" t="str">
        <x:v>T5</x:v>
      </x:c>
      <x:c r="B6" t="str">
        <x:v>Professional Mental Health Referral</x:v>
      </x:c>
      <x:c r="C6" t="str">
        <x:v>Recommendations to seek mental health assessment, therapy, counselling, psychiatric care, or professional treatment.</x:v>
      </x:c>
    </x:row>
    <x:row r="7">
      <x:c r="A7" t="str">
        <x:v>T6</x:v>
      </x:c>
      <x:c r="B7" t="str">
        <x:v>Community Integration and Belonging</x:v>
      </x:c>
      <x:c r="C7" t="str">
        <x:v>Social connection, friendship formation, community participation, and belonging.</x:v>
      </x:c>
    </x:row>
    <x:row r="8">
      <x:c r="A8" t="str">
        <x:v>T7</x:v>
      </x:c>
      <x:c r="B8" t="str">
        <x:v>Financial Security and Economic Resilience</x:v>
      </x:c>
      <x:c r="C8" t="str">
        <x:v>Employment, finances, unemployment stress, welfare, budgeting, economic coping, or income-generation advice.</x:v>
      </x:c>
    </x:row>
    <x:row r="9">
      <x:c r="A9" t="str">
        <x:v>T8</x:v>
      </x:c>
      <x:c r="B9" t="str">
        <x:v>Caregiver Burden and Emotional Exhaustion</x:v>
      </x:c>
      <x:c r="C9" t="str">
        <x:v>Emotional, psychological, and physical strain linked to long-term caregiving responsibilities.</x:v>
      </x:c>
    </x:row>
    <x:row r="10">
      <x:c r="A10" t="str">
        <x:v>T9</x:v>
      </x:c>
      <x:c r="B10" t="str">
        <x:v>Formal vs Informal Support Systems</x:v>
      </x:c>
      <x:c r="C10" t="str">
        <x:v>Differences between institutional support structures and family, community, religious, or informal support systems.</x:v>
      </x:c>
    </x:row>
    <x:row r="11">
      <x:c r="A11" t="str">
        <x:v>T10</x:v>
      </x:c>
      <x:c r="B11" t="str">
        <x:v>Integrated Physical and Mental Health Care</x:v>
      </x:c>
      <x:c r="C11" t="str">
        <x:v>Interaction between physical health and mental wellbeing, including sleep, insomnia, medical screening, and CBT-I.</x:v>
      </x:c>
    </x:row>
  </x:sheetData>
  <x:pageMargins left="0.7" right="0.7" top="0.75" bottom="0.75" header="0.3" footer="0.3"/>
  <x:tableParts count="1">
    <x:tablePart xmlns:r="http://schemas.openxmlformats.org/officeDocument/2006/relationships" r:id="R5171f54bbdff40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10" max="10" width="3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>
      <x:c r="A1" s="19" t="str">
        <x:v>Coding Matrix Summary</x:v>
      </x:c>
    </x:row>
    <x:row r="3">
      <x:c r="A3" s="23" t="str">
        <x:v>Total responses</x:v>
      </x:c>
      <x:c r="B3" s="12" t="n">
        <x:v>36</x:v>
      </x:c>
    </x:row>
    <x:row r="4">
      <x:c r="A4" s="23" t="str">
        <x:v>Prompts</x:v>
      </x:c>
      <x:c r="B4" s="12" t="n">
        <x:v>6</x:v>
      </x:c>
    </x:row>
    <x:row r="5">
      <x:c r="A5" s="23" t="str">
        <x:v>Locations</x:v>
      </x:c>
      <x:c r="B5" s="12" t="n">
        <x:v>2</x:v>
      </x:c>
    </x:row>
    <x:row r="6">
      <x:c r="A6" s="23" t="str">
        <x:v>Models</x:v>
      </x:c>
      <x:c r="B6" s="12" t="n">
        <x:v>3</x:v>
      </x:c>
    </x:row>
    <x:row r="8">
      <x:c r="A8" s="5" t="str">
        <x:v>Theme</x:v>
      </x:c>
      <x:c r="B8" s="5" t="str">
        <x:v>Theme Name</x:v>
      </x:c>
      <x:c r="C8" s="5" t="str">
        <x:v>Total</x:v>
      </x:c>
      <x:c r="D8" s="5" t="str">
        <x:v>London</x:v>
      </x:c>
      <x:c r="E8" s="5" t="str">
        <x:v>Lagos</x:v>
      </x:c>
      <x:c r="F8" s="5" t="str">
        <x:v>GPT-4o</x:v>
      </x:c>
      <x:c r="G8" s="5" t="str">
        <x:v>Gemini</x:v>
      </x:c>
      <x:c r="H8" s="5" t="str">
        <x:v>Claude</x:v>
      </x:c>
      <x:c r="J8" s="5" t="str">
        <x:v>Prompt Topic</x:v>
      </x:c>
      <x:c r="K8" s="5" t="str">
        <x:v>London</x:v>
      </x:c>
      <x:c r="L8" s="5" t="str">
        <x:v>Lagos</x:v>
      </x:c>
      <x:c r="M8" s="5" t="str">
        <x:v>Total</x:v>
      </x:c>
    </x:row>
    <x:row r="9">
      <x:c r="A9" t="str">
        <x:v>T1</x:v>
      </x:c>
      <x:c r="B9" t="str">
        <x:v>Institutional Healthcare Navigation</x:v>
      </x:c>
      <x:c r="C9" s="12" t="n">
        <x:f>SUM('Coding Matrix'!F2:F37)</x:f>
        <x:v>23</x:v>
      </x:c>
      <x:c r="D9" s="12" t="n">
        <x:f>SUMIFS('Coding Matrix'!F2:F37,'Coding Matrix'!$E$2:$E$37,"London")</x:f>
        <x:v>15</x:v>
      </x:c>
      <x:c r="E9" s="12" t="n">
        <x:f>SUMIFS('Coding Matrix'!F2:F37,'Coding Matrix'!$E$2:$E$37,"Lagos")</x:f>
        <x:v>8</x:v>
      </x:c>
      <x:c r="F9" s="12" t="n">
        <x:f>SUMIFS('Coding Matrix'!F2:F37,'Coding Matrix'!$D$2:$D$37,"GPT-4o")</x:f>
        <x:v>7</x:v>
      </x:c>
      <x:c r="G9" s="12" t="n">
        <x:f>SUMIFS('Coding Matrix'!F2:F37,'Coding Matrix'!$D$2:$D$37,"Gemini")</x:f>
        <x:v>8</x:v>
      </x:c>
      <x:c r="H9" s="12" t="n">
        <x:f>SUMIFS('Coding Matrix'!F2:F37,'Coding Matrix'!$D$2:$D$37,"Claude")</x:f>
        <x:v>8</x:v>
      </x:c>
      <x:c r="J9" t="str">
        <x:v>Anxiety and Depression</x:v>
      </x:c>
      <x:c r="K9" s="12" t="n">
        <x:f>COUNTIFS('Coding Matrix'!$C$2:$C$37,"Anxiety and Depression",'Coding Matrix'!$E$2:$E$37,"London")</x:f>
        <x:v>3</x:v>
      </x:c>
      <x:c r="L9" s="12" t="n">
        <x:f>COUNTIFS('Coding Matrix'!$C$2:$C$37,"Anxiety and Depression",'Coding Matrix'!$E$2:$E$37,"Lagos")</x:f>
        <x:v>3</x:v>
      </x:c>
      <x:c r="M9" s="12" t="n">
        <x:f>COUNTIF('Coding Matrix'!$C$2:$C$37,"Anxiety and Depression")</x:f>
        <x:v>6</x:v>
      </x:c>
    </x:row>
    <x:row r="10">
      <x:c r="A10" t="str">
        <x:v>T2</x:v>
      </x:c>
      <x:c r="B10" t="str">
        <x:v>Support Under Resource Constraints</x:v>
      </x:c>
      <x:c r="C10" s="12" t="n">
        <x:f>SUM('Coding Matrix'!G2:G37)</x:f>
        <x:v>22</x:v>
      </x:c>
      <x:c r="D10" s="12" t="n">
        <x:f>SUMIFS('Coding Matrix'!G2:G37,'Coding Matrix'!$E$2:$E$37,"London")</x:f>
        <x:v>4</x:v>
      </x:c>
      <x:c r="E10" s="12" t="n">
        <x:f>SUMIFS('Coding Matrix'!G2:G37,'Coding Matrix'!$E$2:$E$37,"Lagos")</x:f>
        <x:v>18</x:v>
      </x:c>
      <x:c r="F10" s="12" t="n">
        <x:f>SUMIFS('Coding Matrix'!G2:G37,'Coding Matrix'!$D$2:$D$37,"GPT-4o")</x:f>
        <x:v>7</x:v>
      </x:c>
      <x:c r="G10" s="12" t="n">
        <x:f>SUMIFS('Coding Matrix'!G2:G37,'Coding Matrix'!$D$2:$D$37,"Gemini")</x:f>
        <x:v>8</x:v>
      </x:c>
      <x:c r="H10" s="12" t="n">
        <x:f>SUMIFS('Coding Matrix'!G2:G37,'Coding Matrix'!$D$2:$D$37,"Claude")</x:f>
        <x:v>7</x:v>
      </x:c>
      <x:c r="J10" t="str">
        <x:v>Panic Attacks</x:v>
      </x:c>
      <x:c r="K10" s="12" t="n">
        <x:f>COUNTIFS('Coding Matrix'!$C$2:$C$37,"Panic Attacks",'Coding Matrix'!$E$2:$E$37,"London")</x:f>
        <x:v>3</x:v>
      </x:c>
      <x:c r="L10" s="12" t="n">
        <x:f>COUNTIFS('Coding Matrix'!$C$2:$C$37,"Panic Attacks",'Coding Matrix'!$E$2:$E$37,"Lagos")</x:f>
        <x:v>3</x:v>
      </x:c>
      <x:c r="M10" s="12" t="n">
        <x:f>COUNTIF('Coding Matrix'!$C$2:$C$37,"Panic Attacks")</x:f>
        <x:v>6</x:v>
      </x:c>
    </x:row>
    <x:row r="11">
      <x:c r="A11" t="str">
        <x:v>T3</x:v>
      </x:c>
      <x:c r="B11" t="str">
        <x:v>Behavioural Self-Management</x:v>
      </x:c>
      <x:c r="C11" s="12" t="n">
        <x:f>SUM('Coding Matrix'!H2:H37)</x:f>
        <x:v>36</x:v>
      </x:c>
      <x:c r="D11" s="12" t="n">
        <x:f>SUMIFS('Coding Matrix'!H2:H37,'Coding Matrix'!$E$2:$E$37,"London")</x:f>
        <x:v>18</x:v>
      </x:c>
      <x:c r="E11" s="12" t="n">
        <x:f>SUMIFS('Coding Matrix'!H2:H37,'Coding Matrix'!$E$2:$E$37,"Lagos")</x:f>
        <x:v>18</x:v>
      </x:c>
      <x:c r="F11" s="12" t="n">
        <x:f>SUMIFS('Coding Matrix'!H2:H37,'Coding Matrix'!$D$2:$D$37,"GPT-4o")</x:f>
        <x:v>12</x:v>
      </x:c>
      <x:c r="G11" s="12" t="n">
        <x:f>SUMIFS('Coding Matrix'!H2:H37,'Coding Matrix'!$D$2:$D$37,"Gemini")</x:f>
        <x:v>12</x:v>
      </x:c>
      <x:c r="H11" s="12" t="n">
        <x:f>SUMIFS('Coding Matrix'!H2:H37,'Coding Matrix'!$D$2:$D$37,"Claude")</x:f>
        <x:v>12</x:v>
      </x:c>
      <x:c r="J11" t="str">
        <x:v>Loneliness and Social Isolation</x:v>
      </x:c>
      <x:c r="K11" s="12" t="n">
        <x:f>COUNTIFS('Coding Matrix'!$C$2:$C$37,"Loneliness and Social Isolation",'Coding Matrix'!$E$2:$E$37,"London")</x:f>
        <x:v>3</x:v>
      </x:c>
      <x:c r="L11" s="12" t="n">
        <x:f>COUNTIFS('Coding Matrix'!$C$2:$C$37,"Loneliness and Social Isolation",'Coding Matrix'!$E$2:$E$37,"Lagos")</x:f>
        <x:v>3</x:v>
      </x:c>
      <x:c r="M11" s="12" t="n">
        <x:f>COUNTIF('Coding Matrix'!$C$2:$C$37,"Loneliness and Social Isolation")</x:f>
        <x:v>6</x:v>
      </x:c>
    </x:row>
    <x:row r="12">
      <x:c r="A12" t="str">
        <x:v>T4</x:v>
      </x:c>
      <x:c r="B12" t="str">
        <x:v>Localised Resource Referral</x:v>
      </x:c>
      <x:c r="C12" s="12" t="n">
        <x:f>SUM('Coding Matrix'!I2:I37)</x:f>
        <x:v>36</x:v>
      </x:c>
      <x:c r="D12" s="12" t="n">
        <x:f>SUMIFS('Coding Matrix'!I2:I37,'Coding Matrix'!$E$2:$E$37,"London")</x:f>
        <x:v>18</x:v>
      </x:c>
      <x:c r="E12" s="12" t="n">
        <x:f>SUMIFS('Coding Matrix'!I2:I37,'Coding Matrix'!$E$2:$E$37,"Lagos")</x:f>
        <x:v>18</x:v>
      </x:c>
      <x:c r="F12" s="12" t="n">
        <x:f>SUMIFS('Coding Matrix'!I2:I37,'Coding Matrix'!$D$2:$D$37,"GPT-4o")</x:f>
        <x:v>12</x:v>
      </x:c>
      <x:c r="G12" s="12" t="n">
        <x:f>SUMIFS('Coding Matrix'!I2:I37,'Coding Matrix'!$D$2:$D$37,"Gemini")</x:f>
        <x:v>12</x:v>
      </x:c>
      <x:c r="H12" s="12" t="n">
        <x:f>SUMIFS('Coding Matrix'!I2:I37,'Coding Matrix'!$D$2:$D$37,"Claude")</x:f>
        <x:v>12</x:v>
      </x:c>
      <x:c r="J12" t="str">
        <x:v>Job Loss and Financial Stress</x:v>
      </x:c>
      <x:c r="K12" s="12" t="n">
        <x:f>COUNTIFS('Coding Matrix'!$C$2:$C$37,"Job Loss and Financial Stress",'Coding Matrix'!$E$2:$E$37,"London")</x:f>
        <x:v>3</x:v>
      </x:c>
      <x:c r="L12" s="12" t="n">
        <x:f>COUNTIFS('Coding Matrix'!$C$2:$C$37,"Job Loss and Financial Stress",'Coding Matrix'!$E$2:$E$37,"Lagos")</x:f>
        <x:v>3</x:v>
      </x:c>
      <x:c r="M12" s="12" t="n">
        <x:f>COUNTIF('Coding Matrix'!$C$2:$C$37,"Job Loss and Financial Stress")</x:f>
        <x:v>6</x:v>
      </x:c>
    </x:row>
    <x:row r="13">
      <x:c r="A13" t="str">
        <x:v>T5</x:v>
      </x:c>
      <x:c r="B13" t="str">
        <x:v>Professional Mental Health Referral</x:v>
      </x:c>
      <x:c r="C13" s="12" t="n">
        <x:f>SUM('Coding Matrix'!J2:J37)</x:f>
        <x:v>34</x:v>
      </x:c>
      <x:c r="D13" s="12" t="n">
        <x:f>SUMIFS('Coding Matrix'!J2:J37,'Coding Matrix'!$E$2:$E$37,"London")</x:f>
        <x:v>17</x:v>
      </x:c>
      <x:c r="E13" s="12" t="n">
        <x:f>SUMIFS('Coding Matrix'!J2:J37,'Coding Matrix'!$E$2:$E$37,"Lagos")</x:f>
        <x:v>17</x:v>
      </x:c>
      <x:c r="F13" s="12" t="n">
        <x:f>SUMIFS('Coding Matrix'!J2:J37,'Coding Matrix'!$D$2:$D$37,"GPT-4o")</x:f>
        <x:v>10</x:v>
      </x:c>
      <x:c r="G13" s="12" t="n">
        <x:f>SUMIFS('Coding Matrix'!J2:J37,'Coding Matrix'!$D$2:$D$37,"Gemini")</x:f>
        <x:v>12</x:v>
      </x:c>
      <x:c r="H13" s="12" t="n">
        <x:f>SUMIFS('Coding Matrix'!J2:J37,'Coding Matrix'!$D$2:$D$37,"Claude")</x:f>
        <x:v>12</x:v>
      </x:c>
      <x:c r="J13" t="str">
        <x:v>Caregiver Burden</x:v>
      </x:c>
      <x:c r="K13" s="12" t="n">
        <x:f>COUNTIFS('Coding Matrix'!$C$2:$C$37,"Caregiver Burden",'Coding Matrix'!$E$2:$E$37,"London")</x:f>
        <x:v>3</x:v>
      </x:c>
      <x:c r="L13" s="12" t="n">
        <x:f>COUNTIFS('Coding Matrix'!$C$2:$C$37,"Caregiver Burden",'Coding Matrix'!$E$2:$E$37,"Lagos")</x:f>
        <x:v>3</x:v>
      </x:c>
      <x:c r="M13" s="12" t="n">
        <x:f>COUNTIF('Coding Matrix'!$C$2:$C$37,"Caregiver Burden")</x:f>
        <x:v>6</x:v>
      </x:c>
    </x:row>
    <x:row r="14">
      <x:c r="A14" t="str">
        <x:v>T6</x:v>
      </x:c>
      <x:c r="B14" t="str">
        <x:v>Community Integration and Belonging</x:v>
      </x:c>
      <x:c r="C14" s="12" t="n">
        <x:f>SUM('Coding Matrix'!K2:K37)</x:f>
        <x:v>6</x:v>
      </x:c>
      <x:c r="D14" s="12" t="n">
        <x:f>SUMIFS('Coding Matrix'!K2:K37,'Coding Matrix'!$E$2:$E$37,"London")</x:f>
        <x:v>3</x:v>
      </x:c>
      <x:c r="E14" s="12" t="n">
        <x:f>SUMIFS('Coding Matrix'!K2:K37,'Coding Matrix'!$E$2:$E$37,"Lagos")</x:f>
        <x:v>3</x:v>
      </x:c>
      <x:c r="F14" s="12" t="n">
        <x:f>SUMIFS('Coding Matrix'!K2:K37,'Coding Matrix'!$D$2:$D$37,"GPT-4o")</x:f>
        <x:v>2</x:v>
      </x:c>
      <x:c r="G14" s="12" t="n">
        <x:f>SUMIFS('Coding Matrix'!K2:K37,'Coding Matrix'!$D$2:$D$37,"Gemini")</x:f>
        <x:v>2</x:v>
      </x:c>
      <x:c r="H14" s="12" t="n">
        <x:f>SUMIFS('Coding Matrix'!K2:K37,'Coding Matrix'!$D$2:$D$37,"Claude")</x:f>
        <x:v>2</x:v>
      </x:c>
      <x:c r="J14" t="str">
        <x:v>Insomnia</x:v>
      </x:c>
      <x:c r="K14" s="12" t="n">
        <x:f>COUNTIFS('Coding Matrix'!$C$2:$C$37,"Insomnia",'Coding Matrix'!$E$2:$E$37,"London")</x:f>
        <x:v>3</x:v>
      </x:c>
      <x:c r="L14" s="12" t="n">
        <x:f>COUNTIFS('Coding Matrix'!$C$2:$C$37,"Insomnia",'Coding Matrix'!$E$2:$E$37,"Lagos")</x:f>
        <x:v>3</x:v>
      </x:c>
      <x:c r="M14" s="12" t="n">
        <x:f>COUNTIF('Coding Matrix'!$C$2:$C$37,"Insomnia")</x:f>
        <x:v>6</x:v>
      </x:c>
    </x:row>
    <x:row r="15">
      <x:c r="A15" t="str">
        <x:v>T7</x:v>
      </x:c>
      <x:c r="B15" t="str">
        <x:v>Financial Security and Economic Resilience</x:v>
      </x:c>
      <x:c r="C15" s="12" t="n">
        <x:f>SUM('Coding Matrix'!L2:L37)</x:f>
        <x:v>6</x:v>
      </x:c>
      <x:c r="D15" s="12" t="n">
        <x:f>SUMIFS('Coding Matrix'!L2:L37,'Coding Matrix'!$E$2:$E$37,"London")</x:f>
        <x:v>3</x:v>
      </x:c>
      <x:c r="E15" s="12" t="n">
        <x:f>SUMIFS('Coding Matrix'!L2:L37,'Coding Matrix'!$E$2:$E$37,"Lagos")</x:f>
        <x:v>3</x:v>
      </x:c>
      <x:c r="F15" s="12" t="n">
        <x:f>SUMIFS('Coding Matrix'!L2:L37,'Coding Matrix'!$D$2:$D$37,"GPT-4o")</x:f>
        <x:v>2</x:v>
      </x:c>
      <x:c r="G15" s="12" t="n">
        <x:f>SUMIFS('Coding Matrix'!L2:L37,'Coding Matrix'!$D$2:$D$37,"Gemini")</x:f>
        <x:v>2</x:v>
      </x:c>
      <x:c r="H15" s="12" t="n">
        <x:f>SUMIFS('Coding Matrix'!L2:L37,'Coding Matrix'!$D$2:$D$37,"Claude")</x:f>
        <x:v>2</x:v>
      </x:c>
    </x:row>
    <x:row r="16">
      <x:c r="A16" t="str">
        <x:v>T8</x:v>
      </x:c>
      <x:c r="B16" t="str">
        <x:v>Caregiver Burden and Emotional Exhaustion</x:v>
      </x:c>
      <x:c r="C16" s="12" t="n">
        <x:f>SUM('Coding Matrix'!M2:M37)</x:f>
        <x:v>6</x:v>
      </x:c>
      <x:c r="D16" s="12" t="n">
        <x:f>SUMIFS('Coding Matrix'!M2:M37,'Coding Matrix'!$E$2:$E$37,"London")</x:f>
        <x:v>3</x:v>
      </x:c>
      <x:c r="E16" s="12" t="n">
        <x:f>SUMIFS('Coding Matrix'!M2:M37,'Coding Matrix'!$E$2:$E$37,"Lagos")</x:f>
        <x:v>3</x:v>
      </x:c>
      <x:c r="F16" s="12" t="n">
        <x:f>SUMIFS('Coding Matrix'!M2:M37,'Coding Matrix'!$D$2:$D$37,"GPT-4o")</x:f>
        <x:v>2</x:v>
      </x:c>
      <x:c r="G16" s="12" t="n">
        <x:f>SUMIFS('Coding Matrix'!M2:M37,'Coding Matrix'!$D$2:$D$37,"Gemini")</x:f>
        <x:v>2</x:v>
      </x:c>
      <x:c r="H16" s="12" t="n">
        <x:f>SUMIFS('Coding Matrix'!M2:M37,'Coding Matrix'!$D$2:$D$37,"Claude")</x:f>
        <x:v>2</x:v>
      </x:c>
    </x:row>
    <x:row r="17">
      <x:c r="A17" t="str">
        <x:v>T9</x:v>
      </x:c>
      <x:c r="B17" t="str">
        <x:v>Formal vs Informal Support Systems</x:v>
      </x:c>
      <x:c r="C17" s="12" t="n">
        <x:f>SUM('Coding Matrix'!N2:N37)</x:f>
        <x:v>18</x:v>
      </x:c>
      <x:c r="D17" s="12" t="n">
        <x:f>SUMIFS('Coding Matrix'!N2:N37,'Coding Matrix'!$E$2:$E$37,"London")</x:f>
        <x:v>6</x:v>
      </x:c>
      <x:c r="E17" s="12" t="n">
        <x:f>SUMIFS('Coding Matrix'!N2:N37,'Coding Matrix'!$E$2:$E$37,"Lagos")</x:f>
        <x:v>12</x:v>
      </x:c>
      <x:c r="F17" s="12" t="n">
        <x:f>SUMIFS('Coding Matrix'!N2:N37,'Coding Matrix'!$D$2:$D$37,"GPT-4o")</x:f>
        <x:v>6</x:v>
      </x:c>
      <x:c r="G17" s="12" t="n">
        <x:f>SUMIFS('Coding Matrix'!N2:N37,'Coding Matrix'!$D$2:$D$37,"Gemini")</x:f>
        <x:v>6</x:v>
      </x:c>
      <x:c r="H17" s="12" t="n">
        <x:f>SUMIFS('Coding Matrix'!N2:N37,'Coding Matrix'!$D$2:$D$37,"Claude")</x:f>
        <x:v>6</x:v>
      </x:c>
    </x:row>
    <x:row r="18">
      <x:c r="A18" t="str">
        <x:v>T10</x:v>
      </x:c>
      <x:c r="B18" t="str">
        <x:v>Integrated Physical and Mental Health Care</x:v>
      </x:c>
      <x:c r="C18" s="12" t="n">
        <x:f>SUM('Coding Matrix'!O2:O37)</x:f>
        <x:v>12</x:v>
      </x:c>
      <x:c r="D18" s="12" t="n">
        <x:f>SUMIFS('Coding Matrix'!O2:O37,'Coding Matrix'!$E$2:$E$37,"London")</x:f>
        <x:v>6</x:v>
      </x:c>
      <x:c r="E18" s="12" t="n">
        <x:f>SUMIFS('Coding Matrix'!O2:O37,'Coding Matrix'!$E$2:$E$37,"Lagos")</x:f>
        <x:v>6</x:v>
      </x:c>
      <x:c r="F18" s="12" t="n">
        <x:f>SUMIFS('Coding Matrix'!O2:O37,'Coding Matrix'!$D$2:$D$37,"GPT-4o")</x:f>
        <x:v>4</x:v>
      </x:c>
      <x:c r="G18" s="12" t="n">
        <x:f>SUMIFS('Coding Matrix'!O2:O37,'Coding Matrix'!$D$2:$D$37,"Gemini")</x:f>
        <x:v>4</x:v>
      </x:c>
      <x:c r="H18" s="12" t="n">
        <x:f>SUMIFS('Coding Matrix'!O2:O37,'Coding Matrix'!$D$2:$D$37,"Claude")</x:f>
        <x:v>4</x:v>
      </x:c>
    </x:row>
  </x:sheetData>
  <x:mergeCells>
    <x:mergeCell ref="A1:E1"/>
  </x:mergeCells>
  <x:pageMargins left="0.7" right="0.7" top="0.75" bottom="0.75" header="0.3" footer="0.3"/>
  <x:tableParts count="2">
    <x:tablePart xmlns:r="http://schemas.openxmlformats.org/officeDocument/2006/relationships" r:id="Rc807b38a55ad41d0"/>
    <x:tablePart xmlns:r="http://schemas.openxmlformats.org/officeDocument/2006/relationships" r:id="R5a6f9f742a5b4472"/>
  </x:tableParts>
</x:worksheet>
</file>